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5255" windowHeight="616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31" i="1"/>
  <c r="A28"/>
  <c r="A25"/>
  <c r="A22"/>
  <c r="A19"/>
  <c r="B16"/>
  <c r="A16"/>
  <c r="A13"/>
  <c r="A10"/>
</calcChain>
</file>

<file path=xl/sharedStrings.xml><?xml version="1.0" encoding="utf-8"?>
<sst xmlns="http://schemas.openxmlformats.org/spreadsheetml/2006/main" count="17" uniqueCount="17">
  <si>
    <t>Month</t>
  </si>
  <si>
    <t>Avg Orders/Day</t>
  </si>
  <si>
    <t>Avg Order Value (₹)</t>
  </si>
  <si>
    <t>Delivery Time (min)</t>
  </si>
  <si>
    <t>Complaints</t>
  </si>
  <si>
    <t>January</t>
  </si>
  <si>
    <t>February (New UI)</t>
  </si>
  <si>
    <t>March (Discount)</t>
  </si>
  <si>
    <r>
      <t>Scenario:</t>
    </r>
    <r>
      <rPr>
        <sz val="8"/>
        <color theme="1"/>
        <rFont val="Segoe UI"/>
        <family val="2"/>
      </rPr>
      <t> Aap Swiggy ke Junior Data Analyst hain. Product Manager ne kaha hai ki unhone do cheezein change ki hain — naya app UI aur discount campaign. Unhe jaanna hai kya yeh changes actually kaam kiye ya sirf coincidence tha.</t>
    </r>
  </si>
  <si>
    <t>Q1. New UI se orders mein kitna % change aaya?</t>
  </si>
  <si>
    <t>Q2. Discount campaign se order value pe kya impact pada?</t>
  </si>
  <si>
    <t>Q3. Kya delivery time mein significant change aaya?</t>
  </si>
  <si>
    <t>Q4. Complaints aur orders ka correlation kya hai?</t>
  </si>
  <si>
    <t>Q5. Overall recommendation — kya discount campaign successful tha?</t>
  </si>
  <si>
    <t>revenue% change(Fev vs Jan)</t>
  </si>
  <si>
    <t>complaints % changes(Feb -&gt; march)</t>
  </si>
  <si>
    <t>complaints per order(quality metric )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</si>
</sst>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FFFFFF"/>
      <name val="Segoe UI"/>
      <family val="2"/>
    </font>
    <font>
      <b/>
      <u/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30302E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</cellStyleXfs>
  <cellXfs count="16">
    <xf numFmtId="0" fontId="0" fillId="0" borderId="0" xfId="0"/>
    <xf numFmtId="0" fontId="6" fillId="9" borderId="1" xfId="0" applyFont="1" applyFill="1" applyBorder="1" applyAlignment="1">
      <alignment horizont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7" borderId="1" xfId="6" applyFont="1" applyBorder="1" applyAlignment="1">
      <alignment horizontal="center" wrapText="1"/>
    </xf>
    <xf numFmtId="3" fontId="7" fillId="4" borderId="1" xfId="3" applyNumberFormat="1" applyFont="1" applyBorder="1" applyAlignment="1">
      <alignment horizontal="center" wrapText="1"/>
    </xf>
    <xf numFmtId="0" fontId="7" fillId="8" borderId="1" xfId="7" applyFont="1" applyBorder="1" applyAlignment="1">
      <alignment horizontal="center" wrapText="1"/>
    </xf>
    <xf numFmtId="0" fontId="7" fillId="5" borderId="1" xfId="4" applyFont="1" applyBorder="1" applyAlignment="1">
      <alignment horizontal="center" wrapText="1"/>
    </xf>
    <xf numFmtId="0" fontId="8" fillId="0" borderId="0" xfId="0" applyFont="1"/>
    <xf numFmtId="0" fontId="4" fillId="0" borderId="0" xfId="0" applyFont="1"/>
    <xf numFmtId="0" fontId="4" fillId="3" borderId="0" xfId="2" applyFont="1" applyAlignment="1">
      <alignment horizontal="center"/>
    </xf>
    <xf numFmtId="0" fontId="3" fillId="6" borderId="0" xfId="5" applyFont="1" applyAlignment="1">
      <alignment horizontal="left"/>
    </xf>
    <xf numFmtId="0" fontId="4" fillId="2" borderId="0" xfId="1" applyFont="1" applyAlignment="1">
      <alignment horizontal="left"/>
    </xf>
    <xf numFmtId="0" fontId="3" fillId="4" borderId="0" xfId="3" applyFont="1" applyAlignment="1">
      <alignment horizontal="left"/>
    </xf>
    <xf numFmtId="0" fontId="5" fillId="7" borderId="0" xfId="6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8">
    <cellStyle name="Accent1" xfId="3" builtinId="29"/>
    <cellStyle name="Accent2" xfId="4" builtinId="33"/>
    <cellStyle name="Accent3" xfId="5" builtinId="37"/>
    <cellStyle name="Accent4" xfId="6" builtinId="41"/>
    <cellStyle name="Accent5" xfId="7" builtinId="45"/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topLeftCell="A13" workbookViewId="0">
      <selection activeCell="A32" sqref="A32"/>
    </sheetView>
  </sheetViews>
  <sheetFormatPr defaultRowHeight="15"/>
  <cols>
    <col min="1" max="1" width="15.28515625" customWidth="1"/>
    <col min="2" max="2" width="16.5703125" customWidth="1"/>
    <col min="3" max="3" width="14.7109375" customWidth="1"/>
    <col min="4" max="4" width="9.7109375" customWidth="1"/>
    <col min="5" max="5" width="13.7109375" customWidth="1"/>
    <col min="6" max="6" width="15.28515625" customWidth="1"/>
  </cols>
  <sheetData>
    <row r="1" spans="1:5" ht="38.25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" customHeight="1" thickBot="1">
      <c r="A2" s="1" t="s">
        <v>5</v>
      </c>
      <c r="B2" s="4">
        <v>2840</v>
      </c>
      <c r="C2" s="3">
        <v>342</v>
      </c>
      <c r="D2" s="5">
        <v>38</v>
      </c>
      <c r="E2" s="6">
        <v>124</v>
      </c>
    </row>
    <row r="3" spans="1:5" ht="34.5" customHeight="1" thickBot="1">
      <c r="A3" s="1" t="s">
        <v>6</v>
      </c>
      <c r="B3" s="4">
        <v>3120</v>
      </c>
      <c r="C3" s="3">
        <v>358</v>
      </c>
      <c r="D3" s="5">
        <v>35</v>
      </c>
      <c r="E3" s="6">
        <v>98</v>
      </c>
    </row>
    <row r="4" spans="1:5" ht="27" customHeight="1" thickBot="1">
      <c r="A4" s="1" t="s">
        <v>7</v>
      </c>
      <c r="B4" s="4">
        <v>3890</v>
      </c>
      <c r="C4" s="3">
        <v>298</v>
      </c>
      <c r="D4" s="5">
        <v>42</v>
      </c>
      <c r="E4" s="6">
        <v>156</v>
      </c>
    </row>
    <row r="7" spans="1:5">
      <c r="A7" s="7" t="s">
        <v>8</v>
      </c>
    </row>
    <row r="9" spans="1:5">
      <c r="A9" s="12" t="s">
        <v>9</v>
      </c>
      <c r="B9" s="12"/>
      <c r="C9" s="12"/>
    </row>
    <row r="10" spans="1:5">
      <c r="A10" s="8">
        <f>(B3-B2)/B2*100</f>
        <v>9.8591549295774641</v>
      </c>
    </row>
    <row r="12" spans="1:5">
      <c r="A12" s="10" t="s">
        <v>10</v>
      </c>
      <c r="B12" s="10"/>
      <c r="C12" s="10"/>
      <c r="D12" s="10"/>
    </row>
    <row r="13" spans="1:5">
      <c r="A13">
        <f>(C4-C3)/C3*100</f>
        <v>-16.759776536312849</v>
      </c>
    </row>
    <row r="15" spans="1:5">
      <c r="A15" s="9" t="s">
        <v>11</v>
      </c>
      <c r="B15" s="9"/>
      <c r="C15" s="9"/>
    </row>
    <row r="16" spans="1:5">
      <c r="A16">
        <f>(D4-D3)/D3*100</f>
        <v>20</v>
      </c>
      <c r="B16">
        <f>STDEV(D2:D4)</f>
        <v>3.5118845842842679</v>
      </c>
    </row>
    <row r="18" spans="1:5">
      <c r="A18" s="11" t="s">
        <v>12</v>
      </c>
      <c r="B18" s="11"/>
      <c r="C18" s="11"/>
    </row>
    <row r="19" spans="1:5">
      <c r="A19">
        <f>CORREL(B2:B4,E2:E4)</f>
        <v>0.74892240147156641</v>
      </c>
    </row>
    <row r="21" spans="1:5">
      <c r="A21" s="13" t="s">
        <v>13</v>
      </c>
      <c r="B21" s="13"/>
      <c r="C21" s="13"/>
      <c r="D21" s="13"/>
      <c r="E21" s="13"/>
    </row>
    <row r="22" spans="1:5">
      <c r="A22">
        <f>B2*C2</f>
        <v>971280</v>
      </c>
    </row>
    <row r="24" spans="1:5">
      <c r="A24" s="14" t="s">
        <v>14</v>
      </c>
      <c r="B24" s="14"/>
    </row>
    <row r="25" spans="1:5">
      <c r="A25">
        <f>((B3*C3)-(B2*C2))/(B2*C2)*100</f>
        <v>14.998764516926119</v>
      </c>
    </row>
    <row r="27" spans="1:5">
      <c r="A27" s="14" t="s">
        <v>15</v>
      </c>
      <c r="B27" s="14"/>
    </row>
    <row r="28" spans="1:5">
      <c r="A28">
        <f>(E4-E3)/E3*100</f>
        <v>59.183673469387756</v>
      </c>
    </row>
    <row r="30" spans="1:5">
      <c r="A30" s="15" t="s">
        <v>16</v>
      </c>
      <c r="B30" s="15"/>
      <c r="C30" s="15"/>
    </row>
    <row r="31" spans="1:5">
      <c r="A31">
        <f>E2/B2</f>
        <v>4.3661971830985913E-2</v>
      </c>
    </row>
  </sheetData>
  <mergeCells count="8">
    <mergeCell ref="A24:B24"/>
    <mergeCell ref="A27:B27"/>
    <mergeCell ref="A30:C30"/>
    <mergeCell ref="A12:D12"/>
    <mergeCell ref="A15:C15"/>
    <mergeCell ref="A9:C9"/>
    <mergeCell ref="A18:C18"/>
    <mergeCell ref="A21:E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2026-04-18T15:51:48Z</dcterms:created>
  <dcterms:modified xsi:type="dcterms:W3CDTF">2026-04-18T16:21:39Z</dcterms:modified>
</cp:coreProperties>
</file>